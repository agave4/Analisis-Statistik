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Keterang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<sst xmlns="http://schemas.openxmlformats.org/spreadsheetml/2006/main" count="74" uniqueCount="47">
  <si>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 xml:space="preserve">NIM</t>
  </si>
  <si>
    <t xml:space="preserve">Name</t>
  </si>
  <si>
    <t xml:space="preserve">KUIS</t>
  </si>
  <si>
    <t xml:space="preserve">UTS</t>
  </si>
  <si>
    <t xml:space="preserve">UAS</t>
  </si>
  <si>
    <t xml:space="preserve">Nilai</t>
  </si>
  <si>
    <t xml:space="preserve">Grade</t>
  </si>
  <si>
    <t xml:space="preserve">John Doe</t>
  </si>
  <si>
    <t xml:space="preserve">A</t>
  </si>
  <si>
    <t xml:space="preserve">Jane Smith</t>
  </si>
  <si>
    <t xml:space="preserve">Michael Johnson</t>
  </si>
  <si>
    <t xml:space="preserve">C</t>
  </si>
  <si>
    <t xml:space="preserve">Emily Brown</t>
  </si>
  <si>
    <t xml:space="preserve">Daniel Martinez</t>
  </si>
  <si>
    <t xml:space="preserve">AB</t>
  </si>
  <si>
    <t xml:space="preserve">Sarah Wilson</t>
  </si>
  <si>
    <t xml:space="preserve">B</t>
  </si>
  <si>
    <t xml:space="preserve">David Garcia</t>
  </si>
  <si>
    <t xml:space="preserve">Jessica Lee</t>
  </si>
  <si>
    <t xml:space="preserve">Matthew Davis</t>
  </si>
  <si>
    <t xml:space="preserve">Jennifer Rodriguez</t>
  </si>
  <si>
    <t xml:space="preserve">Andrew Taylor</t>
  </si>
  <si>
    <t xml:space="preserve">Amanda Hernandez</t>
  </si>
  <si>
    <t xml:space="preserve">Christopher Clark</t>
  </si>
  <si>
    <t xml:space="preserve">Elizabeth Martinez</t>
  </si>
  <si>
    <t xml:space="preserve">William Anderson</t>
  </si>
  <si>
    <t xml:space="preserve">Sophia Thomas</t>
  </si>
  <si>
    <t xml:space="preserve">James White</t>
  </si>
  <si>
    <t xml:space="preserve">Olivia Taylor</t>
  </si>
  <si>
    <t xml:space="preserve">Benjamin Wilson</t>
  </si>
  <si>
    <t xml:space="preserve">Emma Garcia</t>
  </si>
  <si>
    <t xml:space="preserve">Alexander Davis</t>
  </si>
  <si>
    <t xml:space="preserve">F</t>
  </si>
  <si>
    <t xml:space="preserve">Mia Moore</t>
  </si>
  <si>
    <t xml:space="preserve">Ethan Jackson</t>
  </si>
  <si>
    <t xml:space="preserve">Isabella Brown</t>
  </si>
  <si>
    <t xml:space="preserve">Noah Taylor</t>
  </si>
  <si>
    <t xml:space="preserve">Abigail Johnson</t>
  </si>
  <si>
    <t xml:space="preserve">Logan Martinez</t>
  </si>
  <si>
    <t xml:space="preserve">Avery Clark</t>
  </si>
  <si>
    <t xml:space="preserve">Jacob Thompson</t>
  </si>
  <si>
    <t xml:space="preserve">Samantha Harris</t>
  </si>
  <si>
    <t xml:space="preserve">BC</t>
  </si>
  <si>
    <t xml:space="preserve">Komponen</t>
  </si>
  <si>
    <t xml:space="preserve">Bobot</t>
  </si>
  <si>
    <t xml:space="preserve">Catatan</t>
  </si>
  <si>
    <t xml:space="preserve">Sheet 'Data' = tabel untuk dibaca pandas (baris 1 = header, tanpa kop/judul). Nilai = KUIS×35% + UTS×30% + UAS×35%. Ubah bobot di B2:B4 jika perlu.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</si>
</sst>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27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727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120001</v>
      </c>
      <c r="B2" s="2" t="s">
        <v>7</v>
      </c>
      <c r="C2" s="3" t="n">
        <v>85</v>
      </c>
      <c r="D2" s="3" t="n">
        <v>78</v>
      </c>
      <c r="E2" s="3" t="n">
        <v>90</v>
      </c>
      <c r="F2" s="4" t="n">
        <f aca="false">ROUND(C2*Keterangan!$B$2+D2*Keterangan!$B$3+E2*Keterangan!$B$4,2)</f>
        <v>84.65</v>
      </c>
      <c r="G2" s="3" t="s">
        <v>8</v>
      </c>
    </row>
    <row r="3" customFormat="false" ht="15" hidden="false" customHeight="false" outlineLevel="0" collapsed="false">
      <c r="A3" s="2" t="n">
        <v>120005</v>
      </c>
      <c r="B3" s="2" t="s">
        <v>9</v>
      </c>
      <c r="C3" s="3" t="n">
        <v>92</v>
      </c>
      <c r="D3" s="3" t="n">
        <v>88</v>
      </c>
      <c r="E3" s="3" t="n">
        <v>94</v>
      </c>
      <c r="F3" s="4" t="n">
        <f aca="false">ROUND(C3*Keterangan!$B$2+D3*Keterangan!$B$3+E3*Keterangan!$B$4,2)</f>
        <v>91.5</v>
      </c>
      <c r="G3" s="3" t="s">
        <v>8</v>
      </c>
    </row>
    <row r="4" customFormat="false" ht="15" hidden="false" customHeight="false" outlineLevel="0" collapsed="false">
      <c r="A4" s="2" t="n">
        <v>120017</v>
      </c>
      <c r="B4" s="2" t="s">
        <v>10</v>
      </c>
      <c r="C4" s="3" t="n">
        <v>48</v>
      </c>
      <c r="D4" s="3" t="n">
        <v>65</v>
      </c>
      <c r="E4" s="3" t="n">
        <v>56</v>
      </c>
      <c r="F4" s="4" t="n">
        <f aca="false">ROUND(C4*Keterangan!$B$2+D4*Keterangan!$B$3+E4*Keterangan!$B$4,2)</f>
        <v>55.9</v>
      </c>
      <c r="G4" s="3" t="s">
        <v>11</v>
      </c>
    </row>
    <row r="5" customFormat="false" ht="15" hidden="false" customHeight="false" outlineLevel="0" collapsed="false">
      <c r="A5" s="2" t="n">
        <v>120018</v>
      </c>
      <c r="B5" s="2" t="s">
        <v>12</v>
      </c>
      <c r="C5" s="3" t="n">
        <v>90</v>
      </c>
      <c r="D5" s="3" t="n">
        <v>85</v>
      </c>
      <c r="E5" s="3" t="n">
        <v>88</v>
      </c>
      <c r="F5" s="4" t="n">
        <f aca="false">ROUND(C5*Keterangan!$B$2+D5*Keterangan!$B$3+E5*Keterangan!$B$4,2)</f>
        <v>87.8</v>
      </c>
      <c r="G5" s="3" t="s">
        <v>8</v>
      </c>
    </row>
    <row r="6" customFormat="false" ht="15" hidden="false" customHeight="false" outlineLevel="0" collapsed="false">
      <c r="A6" s="2" t="n">
        <v>120022</v>
      </c>
      <c r="B6" s="2" t="s">
        <v>13</v>
      </c>
      <c r="C6" s="3" t="n">
        <v>75</v>
      </c>
      <c r="D6" s="3" t="n">
        <v>80</v>
      </c>
      <c r="E6" s="3" t="n">
        <v>77</v>
      </c>
      <c r="F6" s="4" t="n">
        <f aca="false">ROUND(C6*Keterangan!$B$2+D6*Keterangan!$B$3+E6*Keterangan!$B$4,2)</f>
        <v>77.2</v>
      </c>
      <c r="G6" s="3" t="s">
        <v>14</v>
      </c>
    </row>
    <row r="7" customFormat="false" ht="15" hidden="false" customHeight="false" outlineLevel="0" collapsed="false">
      <c r="A7" s="2" t="n">
        <v>120024</v>
      </c>
      <c r="B7" s="2" t="s">
        <v>15</v>
      </c>
      <c r="C7" s="3" t="n">
        <v>88</v>
      </c>
      <c r="D7" s="3" t="n">
        <v>70</v>
      </c>
      <c r="E7" s="3" t="n">
        <v>65</v>
      </c>
      <c r="F7" s="4" t="n">
        <f aca="false">ROUND(C7*Keterangan!$B$2+D7*Keterangan!$B$3+E7*Keterangan!$B$4,2)</f>
        <v>74.55</v>
      </c>
      <c r="G7" s="3" t="s">
        <v>16</v>
      </c>
    </row>
    <row r="8" customFormat="false" ht="15" hidden="false" customHeight="false" outlineLevel="0" collapsed="false">
      <c r="A8" s="2" t="n">
        <v>120025</v>
      </c>
      <c r="B8" s="2" t="s">
        <v>17</v>
      </c>
      <c r="C8" s="3" t="n">
        <v>75</v>
      </c>
      <c r="D8" s="3" t="n">
        <v>70</v>
      </c>
      <c r="E8" s="3" t="n">
        <v>75</v>
      </c>
      <c r="F8" s="4" t="n">
        <f aca="false">ROUND(C8*Keterangan!$B$2+D8*Keterangan!$B$3+E8*Keterangan!$B$4,2)</f>
        <v>73.5</v>
      </c>
      <c r="G8" s="3" t="s">
        <v>16</v>
      </c>
    </row>
    <row r="9" customFormat="false" ht="15" hidden="false" customHeight="false" outlineLevel="0" collapsed="false">
      <c r="A9" s="2" t="n">
        <v>120027</v>
      </c>
      <c r="B9" s="2" t="s">
        <v>18</v>
      </c>
      <c r="C9" s="3" t="n">
        <v>95</v>
      </c>
      <c r="D9" s="3" t="n">
        <v>91</v>
      </c>
      <c r="E9" s="3" t="n">
        <v>96</v>
      </c>
      <c r="F9" s="4" t="n">
        <f aca="false">ROUND(C9*Keterangan!$B$2+D9*Keterangan!$B$3+E9*Keterangan!$B$4,2)</f>
        <v>94.15</v>
      </c>
      <c r="G9" s="3" t="s">
        <v>8</v>
      </c>
    </row>
    <row r="10" customFormat="false" ht="15" hidden="false" customHeight="false" outlineLevel="0" collapsed="false">
      <c r="A10" s="2" t="n">
        <v>120034</v>
      </c>
      <c r="B10" s="2" t="s">
        <v>19</v>
      </c>
      <c r="C10" s="3" t="n">
        <v>79</v>
      </c>
      <c r="D10" s="3" t="n">
        <v>84</v>
      </c>
      <c r="E10" s="3" t="n">
        <v>78</v>
      </c>
      <c r="F10" s="4" t="n">
        <f aca="false">ROUND(C10*Keterangan!$B$2+D10*Keterangan!$B$3+E10*Keterangan!$B$4,2)</f>
        <v>80.15</v>
      </c>
      <c r="G10" s="3" t="s">
        <v>14</v>
      </c>
    </row>
    <row r="11" customFormat="false" ht="15" hidden="false" customHeight="false" outlineLevel="0" collapsed="false">
      <c r="A11" s="2" t="n">
        <v>120035</v>
      </c>
      <c r="B11" s="2" t="s">
        <v>20</v>
      </c>
      <c r="C11" s="3" t="n">
        <v>42</v>
      </c>
      <c r="D11" s="3" t="n">
        <v>48</v>
      </c>
      <c r="E11" s="3" t="n">
        <v>63</v>
      </c>
      <c r="F11" s="4" t="n">
        <f aca="false">ROUND(C11*Keterangan!$B$2+D11*Keterangan!$B$3+E11*Keterangan!$B$4,2)</f>
        <v>51.15</v>
      </c>
      <c r="G11" s="3" t="s">
        <v>11</v>
      </c>
    </row>
    <row r="12" customFormat="false" ht="15" hidden="false" customHeight="false" outlineLevel="0" collapsed="false">
      <c r="A12" s="2" t="n">
        <v>120036</v>
      </c>
      <c r="B12" s="2" t="s">
        <v>21</v>
      </c>
      <c r="C12" s="3" t="n">
        <v>53</v>
      </c>
      <c r="D12" s="3" t="n">
        <v>64</v>
      </c>
      <c r="E12" s="3" t="n">
        <v>59</v>
      </c>
      <c r="F12" s="4" t="n">
        <f aca="false">ROUND(C12*Keterangan!$B$2+D12*Keterangan!$B$3+E12*Keterangan!$B$4,2)</f>
        <v>58.4</v>
      </c>
      <c r="G12" s="3" t="s">
        <v>11</v>
      </c>
    </row>
    <row r="13" customFormat="false" ht="15" hidden="false" customHeight="false" outlineLevel="0" collapsed="false">
      <c r="A13" s="2" t="n">
        <v>120038</v>
      </c>
      <c r="B13" s="2" t="s">
        <v>22</v>
      </c>
      <c r="C13" s="3" t="n">
        <v>91</v>
      </c>
      <c r="D13" s="3" t="n">
        <v>95</v>
      </c>
      <c r="E13" s="3" t="n">
        <v>90</v>
      </c>
      <c r="F13" s="4" t="n">
        <f aca="false">ROUND(C13*Keterangan!$B$2+D13*Keterangan!$B$3+E13*Keterangan!$B$4,2)</f>
        <v>91.85</v>
      </c>
      <c r="G13" s="3" t="s">
        <v>8</v>
      </c>
    </row>
    <row r="14" customFormat="false" ht="15" hidden="false" customHeight="false" outlineLevel="0" collapsed="false">
      <c r="A14" s="2" t="n">
        <v>120039</v>
      </c>
      <c r="B14" s="2" t="s">
        <v>23</v>
      </c>
      <c r="C14" s="3" t="n">
        <v>76</v>
      </c>
      <c r="D14" s="3" t="n">
        <v>81</v>
      </c>
      <c r="E14" s="3" t="n">
        <v>75</v>
      </c>
      <c r="F14" s="4" t="n">
        <f aca="false">ROUND(C14*Keterangan!$B$2+D14*Keterangan!$B$3+E14*Keterangan!$B$4,2)</f>
        <v>77.15</v>
      </c>
      <c r="G14" s="3" t="s">
        <v>14</v>
      </c>
    </row>
    <row r="15" customFormat="false" ht="15" hidden="false" customHeight="false" outlineLevel="0" collapsed="false">
      <c r="A15" s="2" t="n">
        <v>120046</v>
      </c>
      <c r="B15" s="2" t="s">
        <v>24</v>
      </c>
      <c r="C15" s="3" t="n">
        <v>89</v>
      </c>
      <c r="D15" s="3" t="n">
        <v>93</v>
      </c>
      <c r="E15" s="3" t="n">
        <v>88</v>
      </c>
      <c r="F15" s="4" t="n">
        <f aca="false">ROUND(C15*Keterangan!$B$2+D15*Keterangan!$B$3+E15*Keterangan!$B$4,2)</f>
        <v>89.85</v>
      </c>
      <c r="G15" s="3" t="s">
        <v>8</v>
      </c>
    </row>
    <row r="16" customFormat="false" ht="15" hidden="false" customHeight="false" outlineLevel="0" collapsed="false">
      <c r="A16" s="2" t="n">
        <v>120047</v>
      </c>
      <c r="B16" s="2" t="s">
        <v>25</v>
      </c>
      <c r="C16" s="3" t="n">
        <v>80</v>
      </c>
      <c r="D16" s="3" t="n">
        <v>85</v>
      </c>
      <c r="E16" s="3" t="n">
        <v>79</v>
      </c>
      <c r="F16" s="4" t="n">
        <f aca="false">ROUND(C16*Keterangan!$B$2+D16*Keterangan!$B$3+E16*Keterangan!$B$4,2)</f>
        <v>81.15</v>
      </c>
      <c r="G16" s="3" t="s">
        <v>8</v>
      </c>
    </row>
    <row r="17" customFormat="false" ht="15" hidden="false" customHeight="false" outlineLevel="0" collapsed="false">
      <c r="A17" s="2" t="n">
        <v>120049</v>
      </c>
      <c r="B17" s="2" t="s">
        <v>26</v>
      </c>
      <c r="C17" s="3" t="n">
        <v>94</v>
      </c>
      <c r="D17" s="3" t="n">
        <v>90</v>
      </c>
      <c r="E17" s="3" t="n">
        <v>95</v>
      </c>
      <c r="F17" s="4" t="n">
        <f aca="false">ROUND(C17*Keterangan!$B$2+D17*Keterangan!$B$3+E17*Keterangan!$B$4,2)</f>
        <v>93.15</v>
      </c>
      <c r="G17" s="3" t="s">
        <v>8</v>
      </c>
    </row>
    <row r="18" customFormat="false" ht="15" hidden="false" customHeight="false" outlineLevel="0" collapsed="false">
      <c r="A18" s="2" t="n">
        <v>120054</v>
      </c>
      <c r="B18" s="2" t="s">
        <v>27</v>
      </c>
      <c r="C18" s="3" t="n">
        <v>77</v>
      </c>
      <c r="D18" s="3" t="n">
        <v>82</v>
      </c>
      <c r="E18" s="3" t="n">
        <v>76</v>
      </c>
      <c r="F18" s="4" t="n">
        <f aca="false">ROUND(C18*Keterangan!$B$2+D18*Keterangan!$B$3+E18*Keterangan!$B$4,2)</f>
        <v>78.15</v>
      </c>
      <c r="G18" s="3" t="s">
        <v>14</v>
      </c>
    </row>
    <row r="19" customFormat="false" ht="15" hidden="false" customHeight="false" outlineLevel="0" collapsed="false">
      <c r="A19" s="2" t="n">
        <v>120060</v>
      </c>
      <c r="B19" s="2" t="s">
        <v>28</v>
      </c>
      <c r="C19" s="3" t="n">
        <v>86</v>
      </c>
      <c r="D19" s="3" t="n">
        <v>89</v>
      </c>
      <c r="E19" s="3" t="n">
        <v>84</v>
      </c>
      <c r="F19" s="4" t="n">
        <f aca="false">ROUND(C19*Keterangan!$B$2+D19*Keterangan!$B$3+E19*Keterangan!$B$4,2)</f>
        <v>86.2</v>
      </c>
      <c r="G19" s="3" t="s">
        <v>8</v>
      </c>
    </row>
    <row r="20" customFormat="false" ht="15" hidden="false" customHeight="false" outlineLevel="0" collapsed="false">
      <c r="A20" s="2" t="n">
        <v>120063</v>
      </c>
      <c r="B20" s="2" t="s">
        <v>29</v>
      </c>
      <c r="C20" s="3" t="n">
        <v>92</v>
      </c>
      <c r="D20" s="3" t="n">
        <v>88</v>
      </c>
      <c r="E20" s="3" t="n">
        <v>93</v>
      </c>
      <c r="F20" s="4" t="n">
        <f aca="false">ROUND(C20*Keterangan!$B$2+D20*Keterangan!$B$3+E20*Keterangan!$B$4,2)</f>
        <v>91.15</v>
      </c>
      <c r="G20" s="3" t="s">
        <v>8</v>
      </c>
    </row>
    <row r="21" customFormat="false" ht="15" hidden="false" customHeight="false" outlineLevel="0" collapsed="false">
      <c r="A21" s="2" t="n">
        <v>120070</v>
      </c>
      <c r="B21" s="2" t="s">
        <v>30</v>
      </c>
      <c r="C21" s="3" t="n">
        <v>78</v>
      </c>
      <c r="D21" s="3" t="n">
        <v>83</v>
      </c>
      <c r="E21" s="3" t="n">
        <v>77</v>
      </c>
      <c r="F21" s="4" t="n">
        <f aca="false">ROUND(C21*Keterangan!$B$2+D21*Keterangan!$B$3+E21*Keterangan!$B$4,2)</f>
        <v>79.15</v>
      </c>
      <c r="G21" s="3" t="s">
        <v>14</v>
      </c>
    </row>
    <row r="22" customFormat="false" ht="15" hidden="false" customHeight="false" outlineLevel="0" collapsed="false">
      <c r="A22" s="2" t="n">
        <v>120071</v>
      </c>
      <c r="B22" s="2" t="s">
        <v>31</v>
      </c>
      <c r="C22" s="3" t="n">
        <v>41</v>
      </c>
      <c r="D22" s="3" t="n">
        <v>53</v>
      </c>
      <c r="E22" s="3" t="n">
        <v>44</v>
      </c>
      <c r="F22" s="4" t="n">
        <f aca="false">ROUND(C22*Keterangan!$B$2+D22*Keterangan!$B$3+E22*Keterangan!$B$4,2)</f>
        <v>45.65</v>
      </c>
      <c r="G22" s="3" t="s">
        <v>32</v>
      </c>
    </row>
    <row r="23" customFormat="false" ht="15" hidden="false" customHeight="false" outlineLevel="0" collapsed="false">
      <c r="A23" s="2" t="n">
        <v>120073</v>
      </c>
      <c r="B23" s="2" t="s">
        <v>33</v>
      </c>
      <c r="C23" s="3" t="n">
        <v>68</v>
      </c>
      <c r="D23" s="3" t="n">
        <v>49</v>
      </c>
      <c r="E23" s="3" t="n">
        <v>54</v>
      </c>
      <c r="F23" s="4" t="n">
        <f aca="false">ROUND(C23*Keterangan!$B$2+D23*Keterangan!$B$3+E23*Keterangan!$B$4,2)</f>
        <v>57.4</v>
      </c>
      <c r="G23" s="3" t="s">
        <v>11</v>
      </c>
    </row>
    <row r="24" customFormat="false" ht="15" hidden="false" customHeight="false" outlineLevel="0" collapsed="false">
      <c r="A24" s="2" t="n">
        <v>120082</v>
      </c>
      <c r="B24" s="2" t="s">
        <v>34</v>
      </c>
      <c r="C24" s="3" t="n">
        <v>81</v>
      </c>
      <c r="D24" s="3" t="n">
        <v>87</v>
      </c>
      <c r="E24" s="3" t="n">
        <v>80</v>
      </c>
      <c r="F24" s="4" t="n">
        <f aca="false">ROUND(C24*Keterangan!$B$2+D24*Keterangan!$B$3+E24*Keterangan!$B$4,2)</f>
        <v>82.45</v>
      </c>
      <c r="G24" s="3" t="s">
        <v>8</v>
      </c>
    </row>
    <row r="25" customFormat="false" ht="15" hidden="false" customHeight="false" outlineLevel="0" collapsed="false">
      <c r="A25" s="2" t="n">
        <v>120083</v>
      </c>
      <c r="B25" s="2" t="s">
        <v>35</v>
      </c>
      <c r="C25" s="3" t="n">
        <v>87</v>
      </c>
      <c r="D25" s="3" t="n">
        <v>90</v>
      </c>
      <c r="E25" s="3" t="n">
        <v>85</v>
      </c>
      <c r="F25" s="4" t="n">
        <f aca="false">ROUND(C25*Keterangan!$B$2+D25*Keterangan!$B$3+E25*Keterangan!$B$4,2)</f>
        <v>87.2</v>
      </c>
      <c r="G25" s="3" t="s">
        <v>8</v>
      </c>
    </row>
    <row r="26" customFormat="false" ht="15" hidden="false" customHeight="false" outlineLevel="0" collapsed="false">
      <c r="A26" s="2" t="n">
        <v>120088</v>
      </c>
      <c r="B26" s="2" t="s">
        <v>36</v>
      </c>
      <c r="C26" s="3" t="n">
        <v>79</v>
      </c>
      <c r="D26" s="3" t="n">
        <v>84</v>
      </c>
      <c r="E26" s="3" t="n">
        <v>78</v>
      </c>
      <c r="F26" s="4" t="n">
        <f aca="false">ROUND(C26*Keterangan!$B$2+D26*Keterangan!$B$3+E26*Keterangan!$B$4,2)</f>
        <v>80.15</v>
      </c>
      <c r="G26" s="3" t="s">
        <v>14</v>
      </c>
    </row>
    <row r="27" customFormat="false" ht="15" hidden="false" customHeight="false" outlineLevel="0" collapsed="false">
      <c r="A27" s="2" t="n">
        <v>120090</v>
      </c>
      <c r="B27" s="2" t="s">
        <v>37</v>
      </c>
      <c r="C27" s="3" t="n">
        <v>70</v>
      </c>
      <c r="D27" s="3" t="n">
        <v>77</v>
      </c>
      <c r="E27" s="3" t="n">
        <v>64</v>
      </c>
      <c r="F27" s="4" t="n">
        <f aca="false">ROUND(C27*Keterangan!$B$2+D27*Keterangan!$B$3+E27*Keterangan!$B$4,2)</f>
        <v>70</v>
      </c>
      <c r="G27" s="3" t="s">
        <v>16</v>
      </c>
    </row>
    <row r="28" customFormat="false" ht="15" hidden="false" customHeight="false" outlineLevel="0" collapsed="false">
      <c r="A28" s="2" t="n">
        <v>120093</v>
      </c>
      <c r="B28" s="2" t="s">
        <v>38</v>
      </c>
      <c r="C28" s="3" t="n">
        <v>67</v>
      </c>
      <c r="D28" s="3" t="n">
        <v>54</v>
      </c>
      <c r="E28" s="3" t="n">
        <v>54</v>
      </c>
      <c r="F28" s="4" t="n">
        <f aca="false">ROUND(C28*Keterangan!$B$2+D28*Keterangan!$B$3+E28*Keterangan!$B$4,2)</f>
        <v>58.55</v>
      </c>
      <c r="G28" s="3" t="s">
        <v>11</v>
      </c>
    </row>
    <row r="29" customFormat="false" ht="15" hidden="false" customHeight="false" outlineLevel="0" collapsed="false">
      <c r="A29" s="2" t="n">
        <v>120095</v>
      </c>
      <c r="B29" s="2" t="s">
        <v>39</v>
      </c>
      <c r="C29" s="3" t="n">
        <v>69</v>
      </c>
      <c r="D29" s="3" t="n">
        <v>62</v>
      </c>
      <c r="E29" s="3" t="n">
        <v>71</v>
      </c>
      <c r="F29" s="4" t="n">
        <f aca="false">ROUND(C29*Keterangan!$B$2+D29*Keterangan!$B$3+E29*Keterangan!$B$4,2)</f>
        <v>67.6</v>
      </c>
      <c r="G29" s="3" t="s">
        <v>16</v>
      </c>
    </row>
    <row r="30" customFormat="false" ht="15" hidden="false" customHeight="false" outlineLevel="0" collapsed="false">
      <c r="A30" s="2" t="n">
        <v>120098</v>
      </c>
      <c r="B30" s="2" t="s">
        <v>40</v>
      </c>
      <c r="C30" s="3" t="n">
        <v>76</v>
      </c>
      <c r="D30" s="3" t="n">
        <v>81</v>
      </c>
      <c r="E30" s="3" t="n">
        <v>75</v>
      </c>
      <c r="F30" s="4" t="n">
        <f aca="false">ROUND(C30*Keterangan!$B$2+D30*Keterangan!$B$3+E30*Keterangan!$B$4,2)</f>
        <v>77.15</v>
      </c>
      <c r="G30" s="3" t="s">
        <v>14</v>
      </c>
    </row>
    <row r="31" customFormat="false" ht="15" hidden="false" customHeight="false" outlineLevel="0" collapsed="false">
      <c r="A31" s="2" t="n">
        <v>120099</v>
      </c>
      <c r="B31" s="2" t="s">
        <v>41</v>
      </c>
      <c r="C31" s="3" t="n">
        <v>60</v>
      </c>
      <c r="D31" s="3" t="n">
        <v>65</v>
      </c>
      <c r="E31" s="3" t="n">
        <v>64</v>
      </c>
      <c r="F31" s="4" t="n">
        <f aca="false">ROUND(C31*Keterangan!$B$2+D31*Keterangan!$B$3+E31*Keterangan!$B$4,2)</f>
        <v>62.9</v>
      </c>
      <c r="G31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5" t="s">
        <v>43</v>
      </c>
      <c r="B1" s="5" t="s">
        <v>44</v>
      </c>
    </row>
    <row r="2" customFormat="false" ht="15" hidden="false" customHeight="false" outlineLevel="0" collapsed="false">
      <c r="A2" s="6" t="s">
        <v>2</v>
      </c>
      <c r="B2" s="7" t="n">
        <v>0.35</v>
      </c>
    </row>
    <row r="3" customFormat="false" ht="15" hidden="false" customHeight="false" outlineLevel="0" collapsed="false">
      <c r="A3" s="6" t="s">
        <v>3</v>
      </c>
      <c r="B3" s="7" t="n">
        <v>0.3</v>
      </c>
    </row>
    <row r="4" customFormat="false" ht="15" hidden="false" customHeight="false" outlineLevel="0" collapsed="false">
      <c r="A4" s="6" t="s">
        <v>4</v>
      </c>
      <c r="B4" s="7" t="n">
        <v>0.35</v>
      </c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6" t="s">
        <v>45</v>
      </c>
      <c r="B6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2026-09-23T15:27:22Z</dcterms:created>
  <dc:creator>openpyxl</dc:creator>
  <dc:description/>
  <dc:language>en-US</dc:language>
  <cp:lastModifiedBy/>
  <dcterms:modified xsi:type="dcterms:W3CDTF">2026-09-23T15:27:22Z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